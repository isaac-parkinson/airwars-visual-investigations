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parkinson/Downloads/Airwars data paper/"/>
    </mc:Choice>
  </mc:AlternateContent>
  <xr:revisionPtr revIDLastSave="0" documentId="8_{A415839A-1047-3648-8E17-011003684182}" xr6:coauthVersionLast="47" xr6:coauthVersionMax="47" xr10:uidLastSave="{00000000-0000-0000-0000-000000000000}"/>
  <bookViews>
    <workbookView xWindow="1300" yWindow="1740" windowWidth="27640" windowHeight="16940" xr2:uid="{B5DC7AAA-B31E-F44E-B250-ABC811A2331E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<sst xmlns="http://schemas.openxmlformats.org/spreadsheetml/2006/main" count="325" uniqueCount="142">
  <si>
    <t>Investigation ID</t>
  </si>
  <si>
    <t>Title</t>
  </si>
  <si>
    <t>Organisation</t>
  </si>
  <si>
    <t>Organisation Type</t>
  </si>
  <si>
    <t>Month of Publication</t>
  </si>
  <si>
    <t>Year of Publication</t>
  </si>
  <si>
    <t>URL</t>
  </si>
  <si>
    <t>Subject Matter</t>
  </si>
  <si>
    <t>Geographical Focus</t>
  </si>
  <si>
    <t>Geo Country</t>
  </si>
  <si>
    <t xml:space="preserve">Primary Circulation Context </t>
  </si>
  <si>
    <t>Secondary Circulation Context</t>
  </si>
  <si>
    <t>Circulation Detail</t>
  </si>
  <si>
    <t>Access Level</t>
  </si>
  <si>
    <t>Intended Audience</t>
  </si>
  <si>
    <t>Primary Presentational Format</t>
  </si>
  <si>
    <t>Secondary Presentational Format</t>
  </si>
  <si>
    <t>Duration</t>
  </si>
  <si>
    <t>Word Count</t>
  </si>
  <si>
    <t>Interactivity</t>
  </si>
  <si>
    <t>Temporality</t>
  </si>
  <si>
    <t>Methodology Y/N</t>
  </si>
  <si>
    <t>Reflexivity 0-4</t>
  </si>
  <si>
    <t>Reflexivity Notes</t>
  </si>
  <si>
    <t>Techniques Count</t>
  </si>
  <si>
    <t>Ratio Calculation Method</t>
  </si>
  <si>
    <t>Synthetic Ratio</t>
  </si>
  <si>
    <t>Observational Ratio</t>
  </si>
  <si>
    <t>Computational Ratio</t>
  </si>
  <si>
    <t>Hybrid Ratio</t>
  </si>
  <si>
    <t>Legal Impact</t>
  </si>
  <si>
    <t>Legal Detail</t>
  </si>
  <si>
    <t>Collaboration</t>
  </si>
  <si>
    <t>Collaborators</t>
  </si>
  <si>
    <t>General Notes</t>
  </si>
  <si>
    <t>Coding Date</t>
  </si>
  <si>
    <t>Coding Time</t>
  </si>
  <si>
    <t>Review Required</t>
  </si>
  <si>
    <t>INV010</t>
  </si>
  <si>
    <t>The Killings They Tweeted</t>
  </si>
  <si>
    <t>Airwars</t>
  </si>
  <si>
    <t>OSINT</t>
  </si>
  <si>
    <t>https://idf-tweets-gaza.airwars.org/</t>
  </si>
  <si>
    <t>Airstrikes</t>
  </si>
  <si>
    <t>Middle East</t>
  </si>
  <si>
    <t>Gaza</t>
  </si>
  <si>
    <t>Native web page, in partnership with Sky News</t>
  </si>
  <si>
    <t>Open</t>
  </si>
  <si>
    <t>Public, Advocacy</t>
  </si>
  <si>
    <t>NA</t>
  </si>
  <si>
    <t>User-directed</t>
  </si>
  <si>
    <t>Retrospective</t>
  </si>
  <si>
    <t>Y</t>
  </si>
  <si>
    <t>Database of strikes includes incident-specific assessments, including process of geolocation and certainty of its accuracy.</t>
  </si>
  <si>
    <t>Unknown</t>
  </si>
  <si>
    <t>Sky News</t>
  </si>
  <si>
    <t>22/01/2026</t>
  </si>
  <si>
    <t>Added new technique code 3.9 (Annotated Drone Footage)</t>
  </si>
  <si>
    <t>INV011</t>
  </si>
  <si>
    <t>Surviving the Gaza Humanitarian Foundation</t>
  </si>
  <si>
    <t>https://ghf.airwars.org/</t>
  </si>
  <si>
    <t>Human Rights</t>
  </si>
  <si>
    <t>Native web page</t>
  </si>
  <si>
    <t>Passive</t>
  </si>
  <si>
    <t>N</t>
  </si>
  <si>
    <t>Brief mention of techniques used, without named software or dedicated methodology</t>
  </si>
  <si>
    <t>INV013</t>
  </si>
  <si>
    <t>Anatomy of a Russian cluster munition strike</t>
  </si>
  <si>
    <t>https://airwars.org/anatomy-of-a-russian-cluster-munition-strike-explainer/</t>
  </si>
  <si>
    <t>Europe</t>
  </si>
  <si>
    <t>Ukraine</t>
  </si>
  <si>
    <t>Voiceover and inline mentions of techniques used but not explained, no source citation</t>
  </si>
  <si>
    <t>18/02/2026</t>
  </si>
  <si>
    <t>Dashcam footage coded as 'witness video'</t>
  </si>
  <si>
    <t>INV014</t>
  </si>
  <si>
    <t>A year on, Airwars investigation into Afrin hospital attack reveals crucial details</t>
  </si>
  <si>
    <t>https://airwars.org/a-year-on-airwars-investigation-into-afrin-hospital-attack-reveals-crucial-details/</t>
  </si>
  <si>
    <t>Syria</t>
  </si>
  <si>
    <t>INV015</t>
  </si>
  <si>
    <t>The hidden casualties of Britain's war</t>
  </si>
  <si>
    <t>https://airwars.org/investigation/britain-uk-civilian-casualties-iraq-syria/</t>
  </si>
  <si>
    <t>Iraq, Syria</t>
  </si>
  <si>
    <t>Native web page, collaboration with the Guardian, interactive dashboard for specific airstrikes</t>
  </si>
  <si>
    <t>Public, Media, Advocacy</t>
  </si>
  <si>
    <t>Ongoing</t>
  </si>
  <si>
    <t>The Guardian</t>
  </si>
  <si>
    <t>INV016</t>
  </si>
  <si>
    <t>A Long Return</t>
  </si>
  <si>
    <t>https://long-return.airwars.org/</t>
  </si>
  <si>
    <t>Displacement</t>
  </si>
  <si>
    <t>Public, Media</t>
  </si>
  <si>
    <t>No mention of data collection, analytical techniques or source attribution</t>
  </si>
  <si>
    <t>19/02/2026</t>
  </si>
  <si>
    <t>Added new technique code 1.9 (Dashcam video) to distinguish incidental footage akin to CCTV as opposed to consciously recorded witness video.</t>
  </si>
  <si>
    <t>INV017</t>
  </si>
  <si>
    <t>Operation Rough Rider</t>
  </si>
  <si>
    <t>https://trump-yemen.airwars.org/operation-rough-rider</t>
  </si>
  <si>
    <t>Yemen</t>
  </si>
  <si>
    <t>Minimal inline methodology, report includes links to further incident report pages with detailed methodological justifications</t>
  </si>
  <si>
    <t>Count</t>
  </si>
  <si>
    <t xml:space="preserve">Technique ratio data included despite lack of duration data, measured instead by proportion of techniques present in total. </t>
  </si>
  <si>
    <t>INV018</t>
  </si>
  <si>
    <t>Signal Leaks</t>
  </si>
  <si>
    <t>https://trump-yemen.airwars.org/</t>
  </si>
  <si>
    <t>Media Coverage</t>
  </si>
  <si>
    <t>INV019</t>
  </si>
  <si>
    <t>The Bombing of Quala 4131</t>
  </si>
  <si>
    <t>https://airwars.org/investigation/dutch-bombing-quala-4131/</t>
  </si>
  <si>
    <t>Afghanistan</t>
  </si>
  <si>
    <t>Minimal inline methodology, very few links to external incident report pages with further methodological justification</t>
  </si>
  <si>
    <t>20/02/2026</t>
  </si>
  <si>
    <t>INV020</t>
  </si>
  <si>
    <t>Waiting to Happen'</t>
  </si>
  <si>
    <t>https://airwars.org/investigation/syria-prison-break-isis-us-mistakes/</t>
  </si>
  <si>
    <t>Prison</t>
  </si>
  <si>
    <t>Native web page, film released via Vice News Youtube channel</t>
  </si>
  <si>
    <t>Minimal voiceover methodology, more detail provided in Airwars' static report: "A year-long investigation by Airwars and Vice News used visual evidence, interviews and on the ground reporting to construct a 3D model of the prison and better understand the events of January 20th."</t>
  </si>
  <si>
    <t>VICE TV</t>
  </si>
  <si>
    <t>Vice News</t>
  </si>
  <si>
    <t xml:space="preserve">Investigation primarily led by Vice News, incorporating Airwars research, resulting in very little computational visualisation techniques used. </t>
  </si>
  <si>
    <t>INV021</t>
  </si>
  <si>
    <t>Three generations killed within days: why whole families are dying in Gaza</t>
  </si>
  <si>
    <t>https://archive.is/5Uwk2#selection-2557.0-2557.74</t>
  </si>
  <si>
    <t>Native web page provides short description, linking to Times' website page</t>
  </si>
  <si>
    <t>Paywalled, open through archive page provided by Airwars</t>
  </si>
  <si>
    <t>Limited</t>
  </si>
  <si>
    <t>Dedicated methodology section included with limited discussion of analysis methods, including link to full archival resources and native methodology pages</t>
  </si>
  <si>
    <t>The Times</t>
  </si>
  <si>
    <t>INV022</t>
  </si>
  <si>
    <t>Countdown to the Airstrike</t>
  </si>
  <si>
    <t>https://www.theguardian.com/global-development/ng-interactive/2021/jul/28/countdown-to-demolition-the-story-of-al-jalaa-tower-gaza-israel-palestine</t>
  </si>
  <si>
    <t>Native web page provides short description, linking to The Guardian's website page</t>
  </si>
  <si>
    <r>
      <t xml:space="preserve">In conjunction with the civilian harm monitoring organisation </t>
    </r>
    <r>
      <rPr>
        <u/>
        <sz val="10"/>
        <color rgb="FF1155CC"/>
        <rFont val="Arial"/>
        <family val="2"/>
      </rPr>
      <t>Airwars</t>
    </r>
    <r>
      <rPr>
        <sz val="10"/>
        <rFont val="Arial"/>
        <family val="2"/>
      </rPr>
      <t>, the Guardian spoke with dozens of residents and gathered footage and photos to piece together the story of one building, al-Jalaa tower, demolished by an Israeli airstrike on 15 May 2021.</t>
    </r>
  </si>
  <si>
    <t>INV023</t>
  </si>
  <si>
    <t>Killed in a Press Vest</t>
  </si>
  <si>
    <t>https://airwars.org/killed-press-vest-evidence-israeli-responsibility-for-attack-journalists-in-lebanon/</t>
  </si>
  <si>
    <t>Lebanon</t>
  </si>
  <si>
    <t>Native web page, made in collaboration with media partner Agence France Presse</t>
  </si>
  <si>
    <t>No dedicated methodology page or section, inline mentions of technique and sources but not explained</t>
  </si>
  <si>
    <t>"AFP presented the findings of this investigation to officials. Israel did not reply to a request for comment by the time of release."</t>
  </si>
  <si>
    <t>AFP</t>
  </si>
  <si>
    <t>"In collaboration with AFP, Airwars conducted an in-depth investigation of the incident."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</si>
</sst>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\,\ d"/>
  </numFmts>
  <fonts count="6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21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0" xfId="0" quotePrefix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ump-yemen.airwars.org/" TargetMode="External"/><Relationship Id="rId13" Type="http://schemas.openxmlformats.org/officeDocument/2006/relationships/hyperlink" Target="https://airwars.org/" TargetMode="External"/><Relationship Id="rId3" Type="http://schemas.openxmlformats.org/officeDocument/2006/relationships/hyperlink" Target="https://airwars.org/anatomy-of-a-russian-cluster-munition-strike-explainer/" TargetMode="External"/><Relationship Id="rId7" Type="http://schemas.openxmlformats.org/officeDocument/2006/relationships/hyperlink" Target="https://trump-yemen.airwars.org/operation-rough-rider" TargetMode="External"/><Relationship Id="rId12" Type="http://schemas.openxmlformats.org/officeDocument/2006/relationships/hyperlink" Target="https://www.theguardian.com/global-development/ng-interactive/2021/jul/28/countdown-to-demolition-the-story-of-al-jalaa-tower-gaza-israel-palestine" TargetMode="External"/><Relationship Id="rId2" Type="http://schemas.openxmlformats.org/officeDocument/2006/relationships/hyperlink" Target="https://ghf.airwars.org/" TargetMode="External"/><Relationship Id="rId1" Type="http://schemas.openxmlformats.org/officeDocument/2006/relationships/hyperlink" Target="https://idf-tweets-gaza.airwars.org/" TargetMode="External"/><Relationship Id="rId6" Type="http://schemas.openxmlformats.org/officeDocument/2006/relationships/hyperlink" Target="https://long-return.airwars.org/" TargetMode="External"/><Relationship Id="rId11" Type="http://schemas.openxmlformats.org/officeDocument/2006/relationships/hyperlink" Target="https://archive.is/5Uwk2" TargetMode="External"/><Relationship Id="rId5" Type="http://schemas.openxmlformats.org/officeDocument/2006/relationships/hyperlink" Target="https://airwars.org/investigation/britain-uk-civilian-casualties-iraq-syria/" TargetMode="External"/><Relationship Id="rId10" Type="http://schemas.openxmlformats.org/officeDocument/2006/relationships/hyperlink" Target="https://airwars.org/investigation/syria-prison-break-isis-us-mistakes/" TargetMode="External"/><Relationship Id="rId4" Type="http://schemas.openxmlformats.org/officeDocument/2006/relationships/hyperlink" Target="https://airwars.org/a-year-on-airwars-investigation-into-afrin-hospital-attack-reveals-crucial-details/" TargetMode="External"/><Relationship Id="rId9" Type="http://schemas.openxmlformats.org/officeDocument/2006/relationships/hyperlink" Target="https://airwars.org/investigation/dutch-bombing-quala-4131/" TargetMode="External"/><Relationship Id="rId14" Type="http://schemas.openxmlformats.org/officeDocument/2006/relationships/hyperlink" Target="https://airwars.org/killed-press-vest-evidence-israeli-responsibility-for-attack-journalists-in-leban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B88C-6AFA-F94D-B3C4-6B82AD6A5436}">
  <dimension ref="A1:AR14"/>
  <sheetViews>
    <sheetView tabSelected="1" workbookViewId="0">
      <selection sqref="A1:XFD14"/>
    </sheetView>
  </sheetViews>
  <sheetFormatPr baseColWidth="10" defaultRowHeight="16" x14ac:dyDescent="0.2"/>
  <sheetData>
    <row r="1" spans="1:4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K1" s="1" t="s">
        <v>35</v>
      </c>
      <c r="AL1" s="1" t="s">
        <v>36</v>
      </c>
      <c r="AM1" s="1" t="s">
        <v>37</v>
      </c>
      <c r="AN1" s="1"/>
      <c r="AO1" s="1"/>
      <c r="AP1" s="1"/>
      <c r="AQ1" s="1"/>
      <c r="AR1" s="1"/>
    </row>
    <row r="2" spans="1:44" ht="15.75" customHeight="1" x14ac:dyDescent="0.2">
      <c r="A2" s="2" t="s">
        <v>38</v>
      </c>
      <c r="B2" s="2" t="s">
        <v>39</v>
      </c>
      <c r="C2" s="2" t="s">
        <v>40</v>
      </c>
      <c r="D2" s="2" t="s">
        <v>41</v>
      </c>
      <c r="E2" s="2">
        <v>10</v>
      </c>
      <c r="F2" s="3">
        <v>2024</v>
      </c>
      <c r="G2" s="4" t="s">
        <v>42</v>
      </c>
      <c r="H2" s="2" t="s">
        <v>43</v>
      </c>
      <c r="I2" s="2" t="s">
        <v>44</v>
      </c>
      <c r="J2" s="2" t="s">
        <v>45</v>
      </c>
      <c r="K2" s="3">
        <v>1</v>
      </c>
      <c r="L2" s="3">
        <v>2</v>
      </c>
      <c r="M2" s="2" t="s">
        <v>46</v>
      </c>
      <c r="N2" s="2" t="s">
        <v>47</v>
      </c>
      <c r="O2" s="2" t="s">
        <v>48</v>
      </c>
      <c r="P2" s="3">
        <v>1.1000000000000001</v>
      </c>
      <c r="Q2" s="3">
        <v>1.2</v>
      </c>
      <c r="R2" s="5">
        <v>1.3703703703703704E-2</v>
      </c>
      <c r="S2" s="2" t="s">
        <v>49</v>
      </c>
      <c r="T2" s="2" t="s">
        <v>50</v>
      </c>
      <c r="U2" s="2" t="s">
        <v>51</v>
      </c>
      <c r="V2" s="2" t="s">
        <v>52</v>
      </c>
      <c r="W2" s="3">
        <v>3</v>
      </c>
      <c r="X2" s="2" t="s">
        <v>53</v>
      </c>
      <c r="Y2" s="2">
        <v>16</v>
      </c>
      <c r="Z2" s="2" t="s">
        <v>17</v>
      </c>
      <c r="AA2" s="3">
        <v>0</v>
      </c>
      <c r="AB2" s="3">
        <v>0.47599999999999998</v>
      </c>
      <c r="AC2" s="3">
        <v>0.28399999999999997</v>
      </c>
      <c r="AD2" s="3">
        <v>0.24</v>
      </c>
      <c r="AE2" s="2" t="s">
        <v>54</v>
      </c>
      <c r="AF2" s="2">
        <v>0</v>
      </c>
      <c r="AG2" s="2" t="s">
        <v>52</v>
      </c>
      <c r="AH2" s="2" t="s">
        <v>55</v>
      </c>
      <c r="AI2" s="2"/>
      <c r="AJ2" s="2"/>
      <c r="AK2" s="2" t="s">
        <v>56</v>
      </c>
      <c r="AL2" s="3">
        <v>60</v>
      </c>
      <c r="AM2" s="2" t="s">
        <v>57</v>
      </c>
      <c r="AN2" s="2"/>
      <c r="AO2" s="2"/>
      <c r="AP2" s="2"/>
      <c r="AQ2" s="2"/>
      <c r="AR2" s="2"/>
    </row>
    <row r="3" spans="1:44" ht="15.75" customHeight="1" x14ac:dyDescent="0.2">
      <c r="A3" s="2" t="s">
        <v>58</v>
      </c>
      <c r="B3" s="2" t="s">
        <v>59</v>
      </c>
      <c r="C3" s="2" t="s">
        <v>40</v>
      </c>
      <c r="D3" s="2" t="s">
        <v>41</v>
      </c>
      <c r="E3" s="2">
        <v>12</v>
      </c>
      <c r="F3" s="3">
        <v>2025</v>
      </c>
      <c r="G3" s="4" t="s">
        <v>60</v>
      </c>
      <c r="H3" s="2" t="s">
        <v>61</v>
      </c>
      <c r="I3" s="2" t="s">
        <v>44</v>
      </c>
      <c r="J3" s="2" t="s">
        <v>45</v>
      </c>
      <c r="K3" s="3">
        <v>1</v>
      </c>
      <c r="L3" s="2">
        <v>0</v>
      </c>
      <c r="M3" s="2" t="s">
        <v>62</v>
      </c>
      <c r="N3" s="2" t="s">
        <v>47</v>
      </c>
      <c r="O3" s="2" t="s">
        <v>48</v>
      </c>
      <c r="P3" s="3">
        <v>1.1000000000000001</v>
      </c>
      <c r="Q3" s="3">
        <v>1.4</v>
      </c>
      <c r="R3" s="5">
        <v>1.3888888888888888E-2</v>
      </c>
      <c r="S3" s="2" t="s">
        <v>49</v>
      </c>
      <c r="T3" s="2" t="s">
        <v>63</v>
      </c>
      <c r="U3" s="2" t="s">
        <v>51</v>
      </c>
      <c r="V3" s="2" t="s">
        <v>64</v>
      </c>
      <c r="W3" s="3">
        <v>1</v>
      </c>
      <c r="X3" s="2" t="s">
        <v>65</v>
      </c>
      <c r="Y3" s="3">
        <v>15</v>
      </c>
      <c r="Z3" s="3" t="s">
        <v>17</v>
      </c>
      <c r="AA3" s="3">
        <v>0</v>
      </c>
      <c r="AB3" s="3">
        <v>0.128</v>
      </c>
      <c r="AC3" s="3">
        <v>0.17499999999999999</v>
      </c>
      <c r="AD3" s="3">
        <v>0.69699999999999995</v>
      </c>
      <c r="AE3" s="2" t="s">
        <v>54</v>
      </c>
      <c r="AF3" s="2">
        <v>0</v>
      </c>
      <c r="AG3" s="2" t="s">
        <v>64</v>
      </c>
      <c r="AH3" s="2" t="s">
        <v>64</v>
      </c>
      <c r="AI3" s="2"/>
      <c r="AJ3" s="2"/>
      <c r="AK3" s="6">
        <v>46175</v>
      </c>
      <c r="AL3" s="3">
        <v>90</v>
      </c>
      <c r="AM3" s="2">
        <v>0</v>
      </c>
      <c r="AN3" s="2"/>
      <c r="AO3" s="2"/>
      <c r="AP3" s="2"/>
      <c r="AQ3" s="2"/>
      <c r="AR3" s="2"/>
    </row>
    <row r="4" spans="1:44" ht="15.75" customHeight="1" x14ac:dyDescent="0.2">
      <c r="A4" s="2" t="s">
        <v>66</v>
      </c>
      <c r="B4" s="2" t="s">
        <v>67</v>
      </c>
      <c r="C4" s="2" t="s">
        <v>40</v>
      </c>
      <c r="D4" s="2" t="s">
        <v>41</v>
      </c>
      <c r="E4" s="2">
        <v>4</v>
      </c>
      <c r="F4" s="3">
        <v>2022</v>
      </c>
      <c r="G4" s="4" t="s">
        <v>68</v>
      </c>
      <c r="H4" s="2" t="s">
        <v>43</v>
      </c>
      <c r="I4" s="2" t="s">
        <v>69</v>
      </c>
      <c r="J4" s="2" t="s">
        <v>70</v>
      </c>
      <c r="K4" s="3">
        <v>1</v>
      </c>
      <c r="L4" s="2">
        <v>0</v>
      </c>
      <c r="M4" s="2" t="s">
        <v>62</v>
      </c>
      <c r="N4" s="2" t="s">
        <v>47</v>
      </c>
      <c r="O4" s="2" t="s">
        <v>48</v>
      </c>
      <c r="P4" s="3">
        <v>1.1000000000000001</v>
      </c>
      <c r="Q4" s="3">
        <v>1.4</v>
      </c>
      <c r="R4" s="5">
        <v>2.5810185185185185E-3</v>
      </c>
      <c r="S4" s="2" t="s">
        <v>49</v>
      </c>
      <c r="T4" s="2" t="s">
        <v>63</v>
      </c>
      <c r="U4" s="2" t="s">
        <v>51</v>
      </c>
      <c r="V4" s="2" t="s">
        <v>52</v>
      </c>
      <c r="W4" s="3">
        <v>2</v>
      </c>
      <c r="X4" s="2" t="s">
        <v>71</v>
      </c>
      <c r="Y4" s="3">
        <v>6</v>
      </c>
      <c r="Z4" s="3" t="s">
        <v>17</v>
      </c>
      <c r="AA4" s="3">
        <v>0</v>
      </c>
      <c r="AB4" s="3">
        <v>0.23799999999999999</v>
      </c>
      <c r="AC4" s="3">
        <v>0.14299999999999999</v>
      </c>
      <c r="AD4" s="3">
        <v>0.61899999999999999</v>
      </c>
      <c r="AE4" s="2" t="s">
        <v>54</v>
      </c>
      <c r="AF4" s="2">
        <v>0</v>
      </c>
      <c r="AG4" s="2" t="s">
        <v>64</v>
      </c>
      <c r="AH4" s="2" t="s">
        <v>64</v>
      </c>
      <c r="AI4" s="2"/>
      <c r="AJ4" s="2"/>
      <c r="AK4" s="2" t="s">
        <v>72</v>
      </c>
      <c r="AL4" s="3">
        <v>30</v>
      </c>
      <c r="AM4" s="2" t="s">
        <v>73</v>
      </c>
      <c r="AN4" s="2"/>
      <c r="AO4" s="2"/>
      <c r="AP4" s="2"/>
      <c r="AQ4" s="2"/>
      <c r="AR4" s="2"/>
    </row>
    <row r="5" spans="1:44" ht="15.75" customHeight="1" x14ac:dyDescent="0.2">
      <c r="A5" s="2" t="s">
        <v>74</v>
      </c>
      <c r="B5" s="2" t="s">
        <v>75</v>
      </c>
      <c r="C5" s="2" t="s">
        <v>40</v>
      </c>
      <c r="D5" s="2" t="s">
        <v>41</v>
      </c>
      <c r="E5" s="2">
        <v>6</v>
      </c>
      <c r="F5" s="3">
        <v>2022</v>
      </c>
      <c r="G5" s="4" t="s">
        <v>76</v>
      </c>
      <c r="H5" s="2" t="s">
        <v>43</v>
      </c>
      <c r="I5" s="2" t="s">
        <v>44</v>
      </c>
      <c r="J5" s="2" t="s">
        <v>77</v>
      </c>
      <c r="K5" s="3">
        <v>1</v>
      </c>
      <c r="L5" s="2">
        <v>0</v>
      </c>
      <c r="M5" s="2" t="s">
        <v>62</v>
      </c>
      <c r="N5" s="2" t="s">
        <v>47</v>
      </c>
      <c r="O5" s="2" t="s">
        <v>48</v>
      </c>
      <c r="P5" s="3">
        <v>1.1000000000000001</v>
      </c>
      <c r="Q5" s="3">
        <v>1.4</v>
      </c>
      <c r="R5" s="5">
        <v>2.9282407407407408E-3</v>
      </c>
      <c r="S5" s="2" t="s">
        <v>49</v>
      </c>
      <c r="T5" s="2" t="s">
        <v>63</v>
      </c>
      <c r="U5" s="2" t="s">
        <v>51</v>
      </c>
      <c r="V5" s="2" t="s">
        <v>52</v>
      </c>
      <c r="W5" s="3">
        <v>2</v>
      </c>
      <c r="X5" s="2" t="s">
        <v>71</v>
      </c>
      <c r="Y5" s="3">
        <v>4</v>
      </c>
      <c r="Z5" s="3" t="s">
        <v>17</v>
      </c>
      <c r="AA5" s="3">
        <v>0</v>
      </c>
      <c r="AB5" s="3">
        <v>0.36699999999999999</v>
      </c>
      <c r="AC5" s="3">
        <v>0.22500000000000001</v>
      </c>
      <c r="AD5" s="3">
        <v>0.40799999999999997</v>
      </c>
      <c r="AE5" s="2" t="s">
        <v>54</v>
      </c>
      <c r="AF5" s="2">
        <v>0</v>
      </c>
      <c r="AG5" s="2" t="s">
        <v>64</v>
      </c>
      <c r="AH5" s="2" t="s">
        <v>64</v>
      </c>
      <c r="AI5" s="2"/>
      <c r="AJ5" s="2"/>
      <c r="AK5" s="2" t="s">
        <v>72</v>
      </c>
      <c r="AL5" s="3">
        <v>15</v>
      </c>
      <c r="AM5" s="2">
        <v>0</v>
      </c>
      <c r="AN5" s="2"/>
      <c r="AO5" s="2"/>
      <c r="AP5" s="2"/>
      <c r="AQ5" s="2"/>
      <c r="AR5" s="2"/>
    </row>
    <row r="6" spans="1:44" ht="15.75" customHeight="1" x14ac:dyDescent="0.2">
      <c r="A6" s="2" t="s">
        <v>78</v>
      </c>
      <c r="B6" s="2" t="s">
        <v>79</v>
      </c>
      <c r="C6" s="2" t="s">
        <v>40</v>
      </c>
      <c r="D6" s="2" t="s">
        <v>41</v>
      </c>
      <c r="E6" s="2">
        <v>3</v>
      </c>
      <c r="F6" s="3">
        <v>2023</v>
      </c>
      <c r="G6" s="4" t="s">
        <v>80</v>
      </c>
      <c r="H6" s="2" t="s">
        <v>43</v>
      </c>
      <c r="I6" s="2" t="s">
        <v>44</v>
      </c>
      <c r="J6" s="2" t="s">
        <v>81</v>
      </c>
      <c r="K6" s="3">
        <v>1</v>
      </c>
      <c r="L6" s="7">
        <v>46060</v>
      </c>
      <c r="M6" s="2" t="s">
        <v>82</v>
      </c>
      <c r="N6" s="2" t="s">
        <v>47</v>
      </c>
      <c r="O6" s="2" t="s">
        <v>83</v>
      </c>
      <c r="P6" s="3">
        <v>1.3</v>
      </c>
      <c r="Q6" s="3">
        <v>1.1000000000000001</v>
      </c>
      <c r="R6" s="5">
        <v>3.9814814814814817E-3</v>
      </c>
      <c r="S6" s="2" t="s">
        <v>49</v>
      </c>
      <c r="T6" s="2" t="s">
        <v>50</v>
      </c>
      <c r="U6" s="2" t="s">
        <v>84</v>
      </c>
      <c r="V6" s="2" t="s">
        <v>52</v>
      </c>
      <c r="W6" s="3">
        <v>2</v>
      </c>
      <c r="X6" s="2" t="s">
        <v>71</v>
      </c>
      <c r="Y6" s="3">
        <v>8</v>
      </c>
      <c r="Z6" s="3" t="s">
        <v>17</v>
      </c>
      <c r="AA6" s="3">
        <v>0.10299999999999999</v>
      </c>
      <c r="AB6" s="3">
        <v>0.11600000000000001</v>
      </c>
      <c r="AC6" s="3">
        <v>0.23599999999999999</v>
      </c>
      <c r="AD6" s="3">
        <v>0.54500000000000004</v>
      </c>
      <c r="AE6" s="2" t="s">
        <v>54</v>
      </c>
      <c r="AF6" s="2">
        <v>0</v>
      </c>
      <c r="AG6" s="2" t="s">
        <v>52</v>
      </c>
      <c r="AH6" s="2" t="s">
        <v>85</v>
      </c>
      <c r="AI6" s="2"/>
      <c r="AJ6" s="2"/>
      <c r="AK6" s="2" t="s">
        <v>72</v>
      </c>
      <c r="AL6" s="3">
        <v>30</v>
      </c>
      <c r="AM6" s="2">
        <v>0</v>
      </c>
      <c r="AN6" s="2"/>
      <c r="AO6" s="2"/>
      <c r="AP6" s="2"/>
      <c r="AQ6" s="2"/>
      <c r="AR6" s="2"/>
    </row>
    <row r="7" spans="1:44" ht="15.75" customHeight="1" x14ac:dyDescent="0.2">
      <c r="A7" s="2" t="s">
        <v>86</v>
      </c>
      <c r="B7" s="2" t="s">
        <v>87</v>
      </c>
      <c r="C7" s="2" t="s">
        <v>40</v>
      </c>
      <c r="D7" s="2" t="s">
        <v>41</v>
      </c>
      <c r="E7" s="2">
        <v>3</v>
      </c>
      <c r="F7" s="3">
        <v>2025</v>
      </c>
      <c r="G7" s="4" t="s">
        <v>88</v>
      </c>
      <c r="H7" s="2" t="s">
        <v>89</v>
      </c>
      <c r="I7" s="2" t="s">
        <v>44</v>
      </c>
      <c r="J7" s="2" t="s">
        <v>45</v>
      </c>
      <c r="K7" s="3">
        <v>1</v>
      </c>
      <c r="L7" s="2">
        <v>0</v>
      </c>
      <c r="M7" s="2" t="s">
        <v>62</v>
      </c>
      <c r="N7" s="2" t="s">
        <v>47</v>
      </c>
      <c r="O7" s="2" t="s">
        <v>90</v>
      </c>
      <c r="P7" s="3">
        <v>1.1000000000000001</v>
      </c>
      <c r="Q7" s="2">
        <v>0</v>
      </c>
      <c r="R7" s="5">
        <v>4.409722222222222E-3</v>
      </c>
      <c r="S7" s="2" t="s">
        <v>49</v>
      </c>
      <c r="T7" s="2" t="s">
        <v>63</v>
      </c>
      <c r="U7" s="2" t="s">
        <v>51</v>
      </c>
      <c r="V7" s="2" t="s">
        <v>64</v>
      </c>
      <c r="W7" s="3">
        <v>0</v>
      </c>
      <c r="X7" s="2" t="s">
        <v>91</v>
      </c>
      <c r="Y7" s="3">
        <v>1</v>
      </c>
      <c r="Z7" s="3" t="s">
        <v>17</v>
      </c>
      <c r="AA7" s="3">
        <v>0</v>
      </c>
      <c r="AB7" s="3">
        <v>1</v>
      </c>
      <c r="AC7" s="3">
        <v>0</v>
      </c>
      <c r="AD7" s="3">
        <v>0</v>
      </c>
      <c r="AE7" s="2" t="s">
        <v>54</v>
      </c>
      <c r="AF7" s="2">
        <v>0</v>
      </c>
      <c r="AG7" s="2" t="s">
        <v>64</v>
      </c>
      <c r="AH7" s="2" t="s">
        <v>64</v>
      </c>
      <c r="AI7" s="2"/>
      <c r="AJ7" s="2"/>
      <c r="AK7" s="2" t="s">
        <v>92</v>
      </c>
      <c r="AL7" s="3">
        <v>15</v>
      </c>
      <c r="AM7" s="2" t="s">
        <v>93</v>
      </c>
      <c r="AN7" s="2"/>
      <c r="AO7" s="2"/>
      <c r="AP7" s="2"/>
      <c r="AQ7" s="2"/>
      <c r="AR7" s="2"/>
    </row>
    <row r="8" spans="1:44" ht="15.75" customHeight="1" x14ac:dyDescent="0.2">
      <c r="A8" s="2" t="s">
        <v>94</v>
      </c>
      <c r="B8" s="2" t="s">
        <v>95</v>
      </c>
      <c r="C8" s="2" t="s">
        <v>40</v>
      </c>
      <c r="D8" s="2" t="s">
        <v>41</v>
      </c>
      <c r="E8" s="2">
        <v>6</v>
      </c>
      <c r="F8" s="3">
        <v>2025</v>
      </c>
      <c r="G8" s="4" t="s">
        <v>96</v>
      </c>
      <c r="H8" s="2" t="s">
        <v>43</v>
      </c>
      <c r="I8" s="2" t="s">
        <v>44</v>
      </c>
      <c r="J8" s="2" t="s">
        <v>97</v>
      </c>
      <c r="K8" s="3">
        <v>1</v>
      </c>
      <c r="L8" s="2">
        <v>0</v>
      </c>
      <c r="M8" s="2" t="s">
        <v>62</v>
      </c>
      <c r="N8" s="2" t="s">
        <v>47</v>
      </c>
      <c r="O8" s="2" t="s">
        <v>48</v>
      </c>
      <c r="P8" s="3">
        <v>1.3</v>
      </c>
      <c r="Q8" s="3">
        <v>1.2</v>
      </c>
      <c r="R8" s="2" t="s">
        <v>49</v>
      </c>
      <c r="S8" s="3">
        <v>5040</v>
      </c>
      <c r="T8" s="2" t="s">
        <v>50</v>
      </c>
      <c r="U8" s="2" t="s">
        <v>51</v>
      </c>
      <c r="V8" s="2" t="s">
        <v>52</v>
      </c>
      <c r="W8" s="3">
        <v>3</v>
      </c>
      <c r="X8" s="2" t="s">
        <v>98</v>
      </c>
      <c r="Y8" s="3">
        <v>4</v>
      </c>
      <c r="Z8" s="3" t="s">
        <v>99</v>
      </c>
      <c r="AA8" s="3">
        <v>0</v>
      </c>
      <c r="AB8" s="3">
        <v>0</v>
      </c>
      <c r="AC8" s="3">
        <v>0.75</v>
      </c>
      <c r="AD8" s="3">
        <v>0.25</v>
      </c>
      <c r="AE8" s="2" t="s">
        <v>54</v>
      </c>
      <c r="AF8" s="2">
        <v>0</v>
      </c>
      <c r="AG8" s="2" t="s">
        <v>64</v>
      </c>
      <c r="AH8" s="2" t="s">
        <v>64</v>
      </c>
      <c r="AI8" s="2"/>
      <c r="AJ8" s="2"/>
      <c r="AK8" s="2" t="s">
        <v>92</v>
      </c>
      <c r="AL8" s="3">
        <v>30</v>
      </c>
      <c r="AM8" s="2" t="s">
        <v>100</v>
      </c>
      <c r="AN8" s="2"/>
      <c r="AO8" s="2"/>
      <c r="AP8" s="2"/>
      <c r="AQ8" s="2"/>
      <c r="AR8" s="2"/>
    </row>
    <row r="9" spans="1:44" ht="15.75" customHeight="1" x14ac:dyDescent="0.2">
      <c r="A9" s="2" t="s">
        <v>101</v>
      </c>
      <c r="B9" s="2" t="s">
        <v>102</v>
      </c>
      <c r="C9" s="2" t="s">
        <v>40</v>
      </c>
      <c r="D9" s="2" t="s">
        <v>41</v>
      </c>
      <c r="E9" s="2">
        <v>4</v>
      </c>
      <c r="F9" s="3">
        <v>2025</v>
      </c>
      <c r="G9" s="4" t="s">
        <v>103</v>
      </c>
      <c r="H9" s="2" t="s">
        <v>43</v>
      </c>
      <c r="I9" s="2" t="s">
        <v>44</v>
      </c>
      <c r="J9" s="2" t="s">
        <v>97</v>
      </c>
      <c r="K9" s="3">
        <v>1</v>
      </c>
      <c r="L9" s="2">
        <v>0</v>
      </c>
      <c r="M9" s="2" t="s">
        <v>62</v>
      </c>
      <c r="N9" s="2" t="s">
        <v>47</v>
      </c>
      <c r="O9" s="2" t="s">
        <v>48</v>
      </c>
      <c r="P9" s="3">
        <v>1.3</v>
      </c>
      <c r="Q9" s="3">
        <v>1.2</v>
      </c>
      <c r="R9" s="2" t="s">
        <v>49</v>
      </c>
      <c r="S9" s="3">
        <v>2104</v>
      </c>
      <c r="T9" s="2" t="s">
        <v>50</v>
      </c>
      <c r="U9" s="2" t="s">
        <v>51</v>
      </c>
      <c r="V9" s="2" t="s">
        <v>52</v>
      </c>
      <c r="W9" s="3">
        <v>3</v>
      </c>
      <c r="X9" s="2" t="s">
        <v>98</v>
      </c>
      <c r="Y9" s="3">
        <v>4</v>
      </c>
      <c r="Z9" s="3" t="s">
        <v>99</v>
      </c>
      <c r="AA9" s="3">
        <v>0</v>
      </c>
      <c r="AB9" s="3">
        <v>0</v>
      </c>
      <c r="AC9" s="3">
        <v>0.75</v>
      </c>
      <c r="AD9" s="3">
        <v>0.25</v>
      </c>
      <c r="AE9" s="2" t="s">
        <v>104</v>
      </c>
      <c r="AF9" s="2" t="s">
        <v>85</v>
      </c>
      <c r="AG9" s="2" t="s">
        <v>64</v>
      </c>
      <c r="AH9" s="2" t="s">
        <v>64</v>
      </c>
      <c r="AI9" s="2"/>
      <c r="AJ9" s="2"/>
      <c r="AK9" s="2" t="s">
        <v>92</v>
      </c>
      <c r="AL9" s="3">
        <v>15</v>
      </c>
      <c r="AM9" s="2" t="s">
        <v>100</v>
      </c>
      <c r="AN9" s="2"/>
      <c r="AO9" s="2"/>
      <c r="AP9" s="2"/>
      <c r="AQ9" s="2"/>
      <c r="AR9" s="2"/>
    </row>
    <row r="10" spans="1:44" ht="15.75" customHeight="1" x14ac:dyDescent="0.2">
      <c r="A10" s="2" t="s">
        <v>105</v>
      </c>
      <c r="B10" s="2" t="s">
        <v>106</v>
      </c>
      <c r="C10" s="2" t="s">
        <v>40</v>
      </c>
      <c r="D10" s="2" t="s">
        <v>41</v>
      </c>
      <c r="E10" s="2">
        <v>3</v>
      </c>
      <c r="F10" s="3">
        <v>2024</v>
      </c>
      <c r="G10" s="4" t="s">
        <v>107</v>
      </c>
      <c r="H10" s="2" t="s">
        <v>43</v>
      </c>
      <c r="I10" s="2" t="s">
        <v>44</v>
      </c>
      <c r="J10" s="2" t="s">
        <v>108</v>
      </c>
      <c r="K10" s="3">
        <v>1</v>
      </c>
      <c r="L10" s="2">
        <v>0</v>
      </c>
      <c r="M10" s="2" t="s">
        <v>62</v>
      </c>
      <c r="N10" s="2" t="s">
        <v>47</v>
      </c>
      <c r="O10" s="2" t="s">
        <v>48</v>
      </c>
      <c r="P10" s="3">
        <v>1.3</v>
      </c>
      <c r="Q10" s="3">
        <v>1.2</v>
      </c>
      <c r="R10" s="2" t="s">
        <v>49</v>
      </c>
      <c r="S10" s="3">
        <v>2811</v>
      </c>
      <c r="T10" s="2" t="s">
        <v>50</v>
      </c>
      <c r="U10" s="2" t="s">
        <v>51</v>
      </c>
      <c r="V10" s="2" t="s">
        <v>64</v>
      </c>
      <c r="W10" s="3">
        <v>1</v>
      </c>
      <c r="X10" s="2" t="s">
        <v>109</v>
      </c>
      <c r="Y10" s="3">
        <v>4</v>
      </c>
      <c r="Z10" s="3" t="s">
        <v>99</v>
      </c>
      <c r="AA10" s="3">
        <v>0</v>
      </c>
      <c r="AB10" s="3">
        <v>0.5</v>
      </c>
      <c r="AC10" s="3">
        <v>0.25</v>
      </c>
      <c r="AD10" s="3">
        <v>0.25</v>
      </c>
      <c r="AE10" s="2" t="s">
        <v>54</v>
      </c>
      <c r="AF10" s="2">
        <v>0</v>
      </c>
      <c r="AG10" s="2" t="s">
        <v>64</v>
      </c>
      <c r="AH10" s="2" t="s">
        <v>64</v>
      </c>
      <c r="AI10" s="2"/>
      <c r="AJ10" s="2"/>
      <c r="AK10" s="2" t="s">
        <v>110</v>
      </c>
      <c r="AL10" s="3">
        <v>15</v>
      </c>
      <c r="AM10" s="2" t="s">
        <v>100</v>
      </c>
      <c r="AN10" s="2"/>
      <c r="AO10" s="2"/>
      <c r="AP10" s="2"/>
      <c r="AQ10" s="2"/>
      <c r="AR10" s="2"/>
    </row>
    <row r="11" spans="1:44" ht="15.75" customHeight="1" x14ac:dyDescent="0.2">
      <c r="A11" s="2" t="s">
        <v>111</v>
      </c>
      <c r="B11" s="8" t="s">
        <v>112</v>
      </c>
      <c r="C11" s="2" t="s">
        <v>40</v>
      </c>
      <c r="D11" s="2" t="s">
        <v>41</v>
      </c>
      <c r="E11" s="2">
        <v>1</v>
      </c>
      <c r="F11" s="3">
        <v>2023</v>
      </c>
      <c r="G11" s="4" t="s">
        <v>113</v>
      </c>
      <c r="H11" s="2" t="s">
        <v>114</v>
      </c>
      <c r="I11" s="2" t="s">
        <v>44</v>
      </c>
      <c r="J11" s="2" t="s">
        <v>77</v>
      </c>
      <c r="K11" s="3">
        <v>1</v>
      </c>
      <c r="L11" s="3">
        <v>2</v>
      </c>
      <c r="M11" s="2" t="s">
        <v>115</v>
      </c>
      <c r="N11" s="2" t="s">
        <v>47</v>
      </c>
      <c r="O11" s="2" t="s">
        <v>48</v>
      </c>
      <c r="P11" s="3">
        <v>1.1000000000000001</v>
      </c>
      <c r="Q11" s="3">
        <v>1.3</v>
      </c>
      <c r="R11" s="5">
        <v>2.9722222222222223E-2</v>
      </c>
      <c r="S11" s="2" t="s">
        <v>49</v>
      </c>
      <c r="T11" s="2" t="s">
        <v>63</v>
      </c>
      <c r="U11" s="2" t="s">
        <v>51</v>
      </c>
      <c r="V11" s="2" t="s">
        <v>64</v>
      </c>
      <c r="W11" s="3">
        <v>1</v>
      </c>
      <c r="X11" s="2" t="s">
        <v>116</v>
      </c>
      <c r="Y11" s="3">
        <v>11</v>
      </c>
      <c r="Z11" s="3" t="s">
        <v>17</v>
      </c>
      <c r="AA11" s="3">
        <v>0</v>
      </c>
      <c r="AB11" s="3">
        <v>0.92500000000000004</v>
      </c>
      <c r="AC11" s="3">
        <v>4.5999999999999999E-2</v>
      </c>
      <c r="AD11" s="3">
        <v>2.9000000000000001E-2</v>
      </c>
      <c r="AE11" s="2" t="s">
        <v>104</v>
      </c>
      <c r="AF11" s="2" t="s">
        <v>117</v>
      </c>
      <c r="AG11" s="2" t="s">
        <v>52</v>
      </c>
      <c r="AH11" s="2" t="s">
        <v>118</v>
      </c>
      <c r="AI11" s="2"/>
      <c r="AJ11" s="2"/>
      <c r="AK11" s="2" t="s">
        <v>110</v>
      </c>
      <c r="AL11" s="3">
        <v>90</v>
      </c>
      <c r="AM11" s="2" t="s">
        <v>119</v>
      </c>
      <c r="AN11" s="2"/>
      <c r="AO11" s="2"/>
      <c r="AP11" s="2"/>
      <c r="AQ11" s="2"/>
      <c r="AR11" s="2"/>
    </row>
    <row r="12" spans="1:44" ht="15.75" customHeight="1" x14ac:dyDescent="0.2">
      <c r="A12" s="2" t="s">
        <v>120</v>
      </c>
      <c r="B12" s="2" t="s">
        <v>121</v>
      </c>
      <c r="C12" s="2" t="s">
        <v>40</v>
      </c>
      <c r="D12" s="2" t="s">
        <v>41</v>
      </c>
      <c r="E12" s="2">
        <v>3</v>
      </c>
      <c r="F12" s="3">
        <v>2024</v>
      </c>
      <c r="G12" s="4" t="s">
        <v>122</v>
      </c>
      <c r="H12" s="2" t="s">
        <v>43</v>
      </c>
      <c r="I12" s="2" t="s">
        <v>44</v>
      </c>
      <c r="J12" s="2" t="s">
        <v>45</v>
      </c>
      <c r="K12" s="3">
        <v>2</v>
      </c>
      <c r="L12" s="3">
        <v>1</v>
      </c>
      <c r="M12" s="2" t="s">
        <v>123</v>
      </c>
      <c r="N12" s="2" t="s">
        <v>124</v>
      </c>
      <c r="O12" s="2" t="s">
        <v>83</v>
      </c>
      <c r="P12" s="3">
        <v>1.4</v>
      </c>
      <c r="Q12" s="3">
        <v>1.2</v>
      </c>
      <c r="R12" s="2" t="s">
        <v>49</v>
      </c>
      <c r="S12" s="3">
        <v>1642</v>
      </c>
      <c r="T12" s="2" t="s">
        <v>125</v>
      </c>
      <c r="U12" s="2" t="s">
        <v>51</v>
      </c>
      <c r="V12" s="2" t="s">
        <v>52</v>
      </c>
      <c r="W12" s="3">
        <v>2</v>
      </c>
      <c r="X12" s="2" t="s">
        <v>126</v>
      </c>
      <c r="Y12" s="3">
        <v>4</v>
      </c>
      <c r="Z12" s="3" t="s">
        <v>99</v>
      </c>
      <c r="AA12" s="3">
        <v>0</v>
      </c>
      <c r="AB12" s="3">
        <v>0.25</v>
      </c>
      <c r="AC12" s="3">
        <v>0.75</v>
      </c>
      <c r="AD12" s="3">
        <v>0</v>
      </c>
      <c r="AE12" s="2" t="s">
        <v>54</v>
      </c>
      <c r="AF12" s="2">
        <v>0</v>
      </c>
      <c r="AG12" s="2" t="s">
        <v>52</v>
      </c>
      <c r="AH12" s="2" t="s">
        <v>127</v>
      </c>
      <c r="AI12" s="2"/>
      <c r="AJ12" s="2"/>
      <c r="AK12" s="2" t="s">
        <v>110</v>
      </c>
      <c r="AL12" s="3">
        <v>30</v>
      </c>
      <c r="AM12" s="2" t="s">
        <v>100</v>
      </c>
      <c r="AN12" s="2"/>
      <c r="AO12" s="2"/>
      <c r="AP12" s="2"/>
      <c r="AQ12" s="2"/>
      <c r="AR12" s="2"/>
    </row>
    <row r="13" spans="1:44" ht="15.75" customHeight="1" x14ac:dyDescent="0.2">
      <c r="A13" s="2" t="s">
        <v>128</v>
      </c>
      <c r="B13" s="2" t="s">
        <v>129</v>
      </c>
      <c r="C13" s="2" t="s">
        <v>40</v>
      </c>
      <c r="D13" s="2" t="s">
        <v>41</v>
      </c>
      <c r="E13" s="2">
        <v>7</v>
      </c>
      <c r="F13" s="3">
        <v>2021</v>
      </c>
      <c r="G13" s="4" t="s">
        <v>130</v>
      </c>
      <c r="H13" s="2" t="s">
        <v>43</v>
      </c>
      <c r="I13" s="2" t="s">
        <v>44</v>
      </c>
      <c r="J13" s="2" t="s">
        <v>45</v>
      </c>
      <c r="K13" s="3">
        <v>2</v>
      </c>
      <c r="L13" s="3">
        <v>1</v>
      </c>
      <c r="M13" s="2" t="s">
        <v>131</v>
      </c>
      <c r="N13" s="2" t="s">
        <v>47</v>
      </c>
      <c r="O13" s="2" t="s">
        <v>83</v>
      </c>
      <c r="P13" s="3">
        <v>1.3</v>
      </c>
      <c r="Q13" s="3">
        <v>1.8</v>
      </c>
      <c r="R13" s="2" t="s">
        <v>49</v>
      </c>
      <c r="S13" s="3">
        <v>2981</v>
      </c>
      <c r="T13" s="2" t="s">
        <v>125</v>
      </c>
      <c r="U13" s="2" t="s">
        <v>51</v>
      </c>
      <c r="V13" s="2" t="s">
        <v>64</v>
      </c>
      <c r="W13" s="3">
        <v>0</v>
      </c>
      <c r="X13" s="2" t="s">
        <v>91</v>
      </c>
      <c r="Y13" s="3">
        <v>5</v>
      </c>
      <c r="Z13" s="3" t="s">
        <v>99</v>
      </c>
      <c r="AA13" s="3">
        <v>0</v>
      </c>
      <c r="AB13" s="3">
        <v>0.4</v>
      </c>
      <c r="AC13" s="3">
        <v>0.4</v>
      </c>
      <c r="AD13" s="3">
        <v>0.2</v>
      </c>
      <c r="AE13" s="2" t="s">
        <v>104</v>
      </c>
      <c r="AF13" s="2" t="s">
        <v>85</v>
      </c>
      <c r="AG13" s="2" t="s">
        <v>52</v>
      </c>
      <c r="AH13" s="2" t="s">
        <v>85</v>
      </c>
      <c r="AI13" s="9" t="s">
        <v>132</v>
      </c>
      <c r="AJ13" s="2"/>
      <c r="AK13" s="2" t="s">
        <v>110</v>
      </c>
      <c r="AL13" s="3">
        <v>30</v>
      </c>
      <c r="AM13" s="2" t="s">
        <v>100</v>
      </c>
      <c r="AN13" s="2"/>
      <c r="AO13" s="2"/>
      <c r="AP13" s="2"/>
      <c r="AQ13" s="2"/>
      <c r="AR13" s="2"/>
    </row>
    <row r="14" spans="1:44" ht="15.75" customHeight="1" x14ac:dyDescent="0.2">
      <c r="A14" s="2" t="s">
        <v>133</v>
      </c>
      <c r="B14" s="2" t="s">
        <v>134</v>
      </c>
      <c r="C14" s="2" t="s">
        <v>40</v>
      </c>
      <c r="D14" s="2" t="s">
        <v>41</v>
      </c>
      <c r="E14" s="2">
        <v>12</v>
      </c>
      <c r="F14" s="3">
        <v>2023</v>
      </c>
      <c r="G14" s="4" t="s">
        <v>135</v>
      </c>
      <c r="H14" s="2" t="s">
        <v>43</v>
      </c>
      <c r="I14" s="2" t="s">
        <v>44</v>
      </c>
      <c r="J14" s="2" t="s">
        <v>136</v>
      </c>
      <c r="K14" s="3">
        <v>1</v>
      </c>
      <c r="L14" s="3">
        <v>2</v>
      </c>
      <c r="M14" s="2" t="s">
        <v>137</v>
      </c>
      <c r="N14" s="2" t="s">
        <v>47</v>
      </c>
      <c r="O14" s="2" t="s">
        <v>83</v>
      </c>
      <c r="P14" s="3">
        <v>1.3</v>
      </c>
      <c r="Q14" s="2">
        <v>0</v>
      </c>
      <c r="R14" s="2" t="s">
        <v>49</v>
      </c>
      <c r="S14" s="3">
        <v>2988</v>
      </c>
      <c r="T14" s="2" t="s">
        <v>125</v>
      </c>
      <c r="U14" s="2" t="s">
        <v>51</v>
      </c>
      <c r="V14" s="2" t="s">
        <v>64</v>
      </c>
      <c r="W14" s="3">
        <v>1</v>
      </c>
      <c r="X14" s="2" t="s">
        <v>138</v>
      </c>
      <c r="Y14" s="3">
        <v>7</v>
      </c>
      <c r="Z14" s="3" t="s">
        <v>99</v>
      </c>
      <c r="AA14" s="3">
        <v>0</v>
      </c>
      <c r="AB14" s="3">
        <v>0.14299999999999999</v>
      </c>
      <c r="AC14" s="3">
        <v>0.57099999999999995</v>
      </c>
      <c r="AD14" s="3">
        <v>0.28599999999999998</v>
      </c>
      <c r="AE14" s="2" t="s">
        <v>104</v>
      </c>
      <c r="AF14" s="2" t="s">
        <v>139</v>
      </c>
      <c r="AG14" s="2" t="s">
        <v>52</v>
      </c>
      <c r="AH14" s="2" t="s">
        <v>140</v>
      </c>
      <c r="AI14" s="2" t="s">
        <v>141</v>
      </c>
      <c r="AJ14" s="2"/>
      <c r="AK14" s="2" t="s">
        <v>110</v>
      </c>
      <c r="AL14" s="3">
        <v>30</v>
      </c>
      <c r="AM14" s="2">
        <v>0</v>
      </c>
      <c r="AN14" s="2"/>
      <c r="AO14" s="2"/>
      <c r="AP14" s="2"/>
      <c r="AQ14" s="2"/>
      <c r="AR14" s="2"/>
    </row>
  </sheetData>
  <dataValidations count="7">
    <dataValidation type="list" allowBlank="1" showErrorMessage="1" sqref="N2" xr:uid="{EC955D6F-549B-6347-99F6-F4BE2198E27D}">
      <formula1>"Open,Subscription"</formula1>
    </dataValidation>
    <dataValidation type="list" allowBlank="1" showErrorMessage="1" sqref="AE2:AE14" xr:uid="{F1F570BB-CD64-EC4C-B2D5-86D6FC73DC1E}">
      <formula1>"Court Submission,Cited in Judgement,Influenced Policy,Media Coverage,None,Unknown"</formula1>
    </dataValidation>
    <dataValidation type="list" allowBlank="1" showErrorMessage="1" sqref="V2 AG2" xr:uid="{49D3E92D-0A56-EA41-B3B7-9509A8E39E9A}">
      <formula1>"Y,N"</formula1>
    </dataValidation>
    <dataValidation type="list" allowBlank="1" showErrorMessage="1" sqref="T2:T14" xr:uid="{321BFC65-9544-EB44-808B-783B658DABD9}">
      <formula1>"Passive,Limited,User-directed,Collaborative"</formula1>
    </dataValidation>
    <dataValidation type="list" allowBlank="1" showErrorMessage="1" sqref="U2:U14" xr:uid="{EB626DF5-FC3B-3547-BDF1-F88C516E2DE1}">
      <formula1>"Retrospective,Ongoing,Real-time"</formula1>
    </dataValidation>
    <dataValidation type="list" allowBlank="1" showErrorMessage="1" sqref="I2:I10" xr:uid="{C22359B0-1CFD-244C-B8AA-557ACA2557AE}">
      <formula1>"America,Europe,Middle East"</formula1>
    </dataValidation>
    <dataValidation type="list" allowBlank="1" showErrorMessage="1" sqref="D2:D10" xr:uid="{03AC517E-F5D3-2542-B4BC-B2377A1A61F7}">
      <formula1>"OSINT,NGO,News Media"</formula1>
    </dataValidation>
  </dataValidations>
  <hyperlinks>
    <hyperlink ref="G2" r:id="rId1" xr:uid="{AB1D7EDB-8E76-B447-B7B5-17A1C67F7AD3}"/>
    <hyperlink ref="G3" r:id="rId2" xr:uid="{1E6FC4A8-0D13-E24F-89AD-8F2039AF8C73}"/>
    <hyperlink ref="G4" r:id="rId3" xr:uid="{818918E2-1EBC-CF42-840A-79B60668C9C0}"/>
    <hyperlink ref="G5" r:id="rId4" xr:uid="{5051AACF-DB53-DC47-9CDC-F18B6479F5AC}"/>
    <hyperlink ref="G6" r:id="rId5" xr:uid="{D8A8D7DC-EA5A-4243-B7B1-0CB11A2DE310}"/>
    <hyperlink ref="G7" r:id="rId6" xr:uid="{1D58733A-CA41-D848-9768-BB4D91992CB1}"/>
    <hyperlink ref="G8" r:id="rId7" xr:uid="{E51B0B3F-2288-3944-A924-1ACDEA1CA246}"/>
    <hyperlink ref="G9" r:id="rId8" xr:uid="{809EA2EC-7185-6C44-B526-B6E27E09509C}"/>
    <hyperlink ref="G10" r:id="rId9" xr:uid="{5AC45195-4CCD-3B45-9C6D-F2DBE6E8F2D9}"/>
    <hyperlink ref="G11" r:id="rId10" xr:uid="{2F015739-29AB-AB4E-AB7A-6877952C726F}"/>
    <hyperlink ref="G12" r:id="rId11" location="selection-2557.0-2557.74" xr:uid="{1A7C62BE-75BA-6A40-BDC1-B053F3261013}"/>
    <hyperlink ref="G13" r:id="rId12" xr:uid="{A19337BD-5BA7-1F43-BC89-EFC8618AFD81}"/>
    <hyperlink ref="AI13" r:id="rId13" xr:uid="{592F529F-B331-D64D-97A1-B0127F5B7515}"/>
    <hyperlink ref="G14" r:id="rId14" xr:uid="{F0F3F167-00CA-AC41-BC57-8515EBE7EA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Parkinson</dc:creator>
  <cp:lastModifiedBy>Isaac Parkinson</cp:lastModifiedBy>
  <dcterms:created xsi:type="dcterms:W3CDTF">2026-06-29T18:21:17Z</dcterms:created>
  <dcterms:modified xsi:type="dcterms:W3CDTF">2026-06-29T18:26:51Z</dcterms:modified>
</cp:coreProperties>
</file>